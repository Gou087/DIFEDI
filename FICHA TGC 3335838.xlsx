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yme\OneDrive\Escritorio\"/>
    </mc:Choice>
  </mc:AlternateContent>
  <xr:revisionPtr revIDLastSave="0" documentId="8_{B388D022-F65C-42F8-9A44-781F611FE6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 s="1"/>
  <c r="C3" i="2"/>
  <c r="C5" i="2" s="1"/>
</calcChain>
</file>

<file path=xl/sharedStrings.xml><?xml version="1.0" encoding="utf-8"?>
<sst xmlns="http://schemas.openxmlformats.org/spreadsheetml/2006/main" count="429" uniqueCount="315">
  <si>
    <t>Nombre(s)</t>
  </si>
  <si>
    <t>Apellido(s)</t>
  </si>
  <si>
    <t>Último acceso</t>
  </si>
  <si>
    <t>Roles</t>
  </si>
  <si>
    <t>Estado</t>
  </si>
  <si>
    <t>Nombre de usuario</t>
  </si>
  <si>
    <t>Correo electrónico</t>
  </si>
  <si>
    <t>Grupos</t>
  </si>
  <si>
    <t>SILVIA DEL PILAR</t>
  </si>
  <si>
    <t>AGUDELO GUEVARA</t>
  </si>
  <si>
    <t>2025-10-17 21:49:45</t>
  </si>
  <si>
    <t>Aprendiz</t>
  </si>
  <si>
    <t>Activo</t>
  </si>
  <si>
    <t>1107083254cc</t>
  </si>
  <si>
    <t>pilaragudelog@gmail.com</t>
  </si>
  <si>
    <t>ANGIE PAOLA</t>
  </si>
  <si>
    <t>AGUDELO RODRIGUEZ</t>
  </si>
  <si>
    <t>2025-10-22 14:43:20</t>
  </si>
  <si>
    <t>1040200245cc</t>
  </si>
  <si>
    <t>angiepaolaagudelorodriguez685@gmail.com</t>
  </si>
  <si>
    <t>LAURA CAMILA</t>
  </si>
  <si>
    <t>AREVALO ALVAREZ</t>
  </si>
  <si>
    <t>2025-10-10 21:12:04</t>
  </si>
  <si>
    <t>1192818389cc</t>
  </si>
  <si>
    <t>lauraarevalo_561@hotmail.com</t>
  </si>
  <si>
    <t>ALBA LILIANA</t>
  </si>
  <si>
    <t>BARBOSA PERILLA</t>
  </si>
  <si>
    <t>2025-10-21 14:53:32</t>
  </si>
  <si>
    <t>52293710cc</t>
  </si>
  <si>
    <t>aliliana.bar@gmail.com</t>
  </si>
  <si>
    <t>ANGIE CATALINA</t>
  </si>
  <si>
    <t>CALLEJAS SALAMANCA</t>
  </si>
  <si>
    <t>2025-10-22 14:49:39</t>
  </si>
  <si>
    <t>1031144402cc</t>
  </si>
  <si>
    <t>katika.callejas@gmail.com</t>
  </si>
  <si>
    <t>KAROL DAHIANA</t>
  </si>
  <si>
    <t>CASTILLO MONTAÑA</t>
  </si>
  <si>
    <t>2025-10-21 20:13:47</t>
  </si>
  <si>
    <t>1073153789cc</t>
  </si>
  <si>
    <t>karoldahiana2000@gmail.com</t>
  </si>
  <si>
    <t>DONALDO ANDRES</t>
  </si>
  <si>
    <t>CHAMORRO HERNANDEZ</t>
  </si>
  <si>
    <t>2025-10-19 19:17:37</t>
  </si>
  <si>
    <t>1102848439cc</t>
  </si>
  <si>
    <t>chamorroandre1992@gmail.com</t>
  </si>
  <si>
    <t>DANA ENERITH</t>
  </si>
  <si>
    <t>CHEQUEMARCA CAICEDO</t>
  </si>
  <si>
    <t>Nunca</t>
  </si>
  <si>
    <t>1125474740cc</t>
  </si>
  <si>
    <t>dannae1307@gmail.com</t>
  </si>
  <si>
    <t>JHON ALEXANDER</t>
  </si>
  <si>
    <t>CORAL CHAPUESGAL</t>
  </si>
  <si>
    <t>2025-09-29 17:56:18</t>
  </si>
  <si>
    <t>1004516657cc</t>
  </si>
  <si>
    <t>johnkoral30@gmail.com</t>
  </si>
  <si>
    <t>LOREEN ISABEL</t>
  </si>
  <si>
    <t>CORPUS GOMEZ</t>
  </si>
  <si>
    <t>2025-10-19 14:32:18</t>
  </si>
  <si>
    <t>1143387327cc</t>
  </si>
  <si>
    <t>loreengomez1611@hotmail.com</t>
  </si>
  <si>
    <t>MARIA FERNANDA</t>
  </si>
  <si>
    <t>CRISTANCHO PINZON</t>
  </si>
  <si>
    <t>2025-10-17 21:24:49</t>
  </si>
  <si>
    <t>1010147603cc</t>
  </si>
  <si>
    <t>mafeepinzon63@gmail.com</t>
  </si>
  <si>
    <t>KELLY JOHANA</t>
  </si>
  <si>
    <t>CUERVO MESA</t>
  </si>
  <si>
    <t>2025-10-21 18:36:40</t>
  </si>
  <si>
    <t>1014254981cc</t>
  </si>
  <si>
    <t>kejocume@hotmail.com</t>
  </si>
  <si>
    <t>CENITH MERCEDES</t>
  </si>
  <si>
    <t>DE ALBA SOLANO</t>
  </si>
  <si>
    <t>2025-10-21 19:40:43</t>
  </si>
  <si>
    <t>1042421312cc</t>
  </si>
  <si>
    <t>cenith.dealba@gmail.com</t>
  </si>
  <si>
    <t>LEIDY JOHANNA</t>
  </si>
  <si>
    <t>DURANGO GUERRA</t>
  </si>
  <si>
    <t>2025-10-22 17:20:00</t>
  </si>
  <si>
    <t>1152193310cc</t>
  </si>
  <si>
    <t>ljdurangog@gmail.com</t>
  </si>
  <si>
    <t>SANDRA VIVIANA</t>
  </si>
  <si>
    <t>FORERO MENESES</t>
  </si>
  <si>
    <t>2025-09-27 20:49:46</t>
  </si>
  <si>
    <t>65633210cc</t>
  </si>
  <si>
    <t>sandraf2484@hotmail.es</t>
  </si>
  <si>
    <t>KATERINE DAYANA</t>
  </si>
  <si>
    <t>GOMEZ CASTRO</t>
  </si>
  <si>
    <t>2025-10-19 22:35:41</t>
  </si>
  <si>
    <t>1140859166cc</t>
  </si>
  <si>
    <t>katy_9314@hotmail.com</t>
  </si>
  <si>
    <t>SINDY JERALDIN</t>
  </si>
  <si>
    <t>GOMEZ JIMENEZ</t>
  </si>
  <si>
    <t>2025-10-22 15:13:11</t>
  </si>
  <si>
    <t>1031147257cc</t>
  </si>
  <si>
    <t>Cindygomez553@gmail.com</t>
  </si>
  <si>
    <t>AYNARA VALENTINA</t>
  </si>
  <si>
    <t>GOMEZ MARTINEZ</t>
  </si>
  <si>
    <t>2025-10-18 21:59:08</t>
  </si>
  <si>
    <t>1104545401cc</t>
  </si>
  <si>
    <t>gomezaynara37@gmail.com</t>
  </si>
  <si>
    <t>MILEIDYS ZHARICK</t>
  </si>
  <si>
    <t>GOMEZ MOLINA</t>
  </si>
  <si>
    <t>2025-10-17 22:18:47</t>
  </si>
  <si>
    <t>1097183408cc</t>
  </si>
  <si>
    <t>mileidys146@gmail.com</t>
  </si>
  <si>
    <t>Diana Lucia</t>
  </si>
  <si>
    <t>Gomez Ramirez</t>
  </si>
  <si>
    <t>2025-10-15 08:27:45</t>
  </si>
  <si>
    <t>Acompañamiento Formación</t>
  </si>
  <si>
    <t>sa_35479783</t>
  </si>
  <si>
    <t>dlgomezr@sena.edu.co</t>
  </si>
  <si>
    <t>SILVIA JOHANNA</t>
  </si>
  <si>
    <t>GRUESO VIVEROS</t>
  </si>
  <si>
    <t>2025-10-19 19:24:57</t>
  </si>
  <si>
    <t>1111793104cc</t>
  </si>
  <si>
    <t>silviajohanna1@hotmail.com</t>
  </si>
  <si>
    <t>DIANA CECILIA</t>
  </si>
  <si>
    <t>ICABUCO GUIO</t>
  </si>
  <si>
    <t>2025-10-22 17:45:58</t>
  </si>
  <si>
    <t>1022998208cc</t>
  </si>
  <si>
    <t>ceciliaguio5@gmail.com</t>
  </si>
  <si>
    <t>CAROL NATALY</t>
  </si>
  <si>
    <t>JIMENEZ CASTAÑEDA</t>
  </si>
  <si>
    <t>2025-10-22 16:45:53</t>
  </si>
  <si>
    <t>1010178855cc</t>
  </si>
  <si>
    <t>kanajica@hotmail.com</t>
  </si>
  <si>
    <t>ZHARICK YUELIS</t>
  </si>
  <si>
    <t>JIMENEZ PALACIOS</t>
  </si>
  <si>
    <t>1002088475cc</t>
  </si>
  <si>
    <t>zharickjimenes@gmail.com</t>
  </si>
  <si>
    <t>JONATAN</t>
  </si>
  <si>
    <t>LOPEZ CASTILLO</t>
  </si>
  <si>
    <t>Instructor</t>
  </si>
  <si>
    <t>1026263565cc</t>
  </si>
  <si>
    <t>jotampezcas@gmail.com</t>
  </si>
  <si>
    <t>LUIS TORRES</t>
  </si>
  <si>
    <t>2025-10-8 19:37:12</t>
  </si>
  <si>
    <t>1002549685cc</t>
  </si>
  <si>
    <t>angielinfo604@gmail.com</t>
  </si>
  <si>
    <t>OSCAR RICARDO</t>
  </si>
  <si>
    <t>MAHECHA PRADA</t>
  </si>
  <si>
    <t>2025-10-18 11:58:22</t>
  </si>
  <si>
    <t>1003824773cc</t>
  </si>
  <si>
    <t>oscar452lx@gmail.com</t>
  </si>
  <si>
    <t>RUBEN DARIO</t>
  </si>
  <si>
    <t>MARTINEZ GOMEZ</t>
  </si>
  <si>
    <t>2025-10-21 13:45:21</t>
  </si>
  <si>
    <t>79524926cc</t>
  </si>
  <si>
    <t>rubendmg25@live.com</t>
  </si>
  <si>
    <t>MOISES EDGARDO</t>
  </si>
  <si>
    <t>MERIÑO POLO</t>
  </si>
  <si>
    <t>2025-10-22 20:11:56</t>
  </si>
  <si>
    <t>72276862cc</t>
  </si>
  <si>
    <t>moymer@gmail.com</t>
  </si>
  <si>
    <t>RAQUEL SOFIA</t>
  </si>
  <si>
    <t>MEZA CORDOBA</t>
  </si>
  <si>
    <t>2025-10-21 12:45:51</t>
  </si>
  <si>
    <t>1007713721cc</t>
  </si>
  <si>
    <t>rsmeza16@gmail.com</t>
  </si>
  <si>
    <t>MONICA ANDREA</t>
  </si>
  <si>
    <t>MONSALVE GARCIA</t>
  </si>
  <si>
    <t>2025-10-22 17:15:15</t>
  </si>
  <si>
    <t>1032071141cc</t>
  </si>
  <si>
    <t>monsalvegarcia15@hotmail.com</t>
  </si>
  <si>
    <t>JOSE ARMANDO</t>
  </si>
  <si>
    <t>MONTES JIMENEZ</t>
  </si>
  <si>
    <t>2025-10-17 19:42:27</t>
  </si>
  <si>
    <t>1101815785ti</t>
  </si>
  <si>
    <t>josearmandomontesjimenez95@gmail.com</t>
  </si>
  <si>
    <t>JUAN ESTEBAN</t>
  </si>
  <si>
    <t>MONTOYA ARENAS</t>
  </si>
  <si>
    <t>2025-10-16 21:55:34</t>
  </si>
  <si>
    <t>1128458148cc</t>
  </si>
  <si>
    <t>esteban2011201095@hotmail.com</t>
  </si>
  <si>
    <t>VERONICA</t>
  </si>
  <si>
    <t>MORALES BUITRAGO</t>
  </si>
  <si>
    <t>2025-10-17 18:24:57</t>
  </si>
  <si>
    <t>1005092204cc</t>
  </si>
  <si>
    <t>verobm0214@gmail.com</t>
  </si>
  <si>
    <t>MARIA JOSE</t>
  </si>
  <si>
    <t>MORENO ESPINOSA</t>
  </si>
  <si>
    <t>2025-10-20 18:46:34</t>
  </si>
  <si>
    <t>1143461991cc</t>
  </si>
  <si>
    <t>majo13moreno.e@hotmail.com</t>
  </si>
  <si>
    <t>ERIKA YANETH</t>
  </si>
  <si>
    <t>PELAEZ SOTO</t>
  </si>
  <si>
    <t>2025-10-17 19:51:06</t>
  </si>
  <si>
    <t>43972643cc</t>
  </si>
  <si>
    <t>erispa1@hotmail.com</t>
  </si>
  <si>
    <t>LICETH DANIELA</t>
  </si>
  <si>
    <t>PEREZ ANCHICO</t>
  </si>
  <si>
    <t>2025-10-17 21:19:55</t>
  </si>
  <si>
    <t>1111813686cc</t>
  </si>
  <si>
    <t>daniviviana1997@gmail.com</t>
  </si>
  <si>
    <t>DIONICIO</t>
  </si>
  <si>
    <t>PEREZ QUINTANA</t>
  </si>
  <si>
    <t>2025-10-22 10:03:05</t>
  </si>
  <si>
    <t>1045510770cc</t>
  </si>
  <si>
    <t>urapartado@gmail.com</t>
  </si>
  <si>
    <t>VALERIA DAYANA</t>
  </si>
  <si>
    <t>PINTO BOLAÑOS</t>
  </si>
  <si>
    <t>2025-10-20 16:25:13</t>
  </si>
  <si>
    <t>1061813198cc</t>
  </si>
  <si>
    <t>valeriapinto15@gmail.com</t>
  </si>
  <si>
    <t>SILVANA KATHERIN</t>
  </si>
  <si>
    <t>PINZON DURAN</t>
  </si>
  <si>
    <t>2025-10-21 07:34:08</t>
  </si>
  <si>
    <t>1102488664cc</t>
  </si>
  <si>
    <t>pinzonsilvana25@gmail.com</t>
  </si>
  <si>
    <t>SARAMY</t>
  </si>
  <si>
    <t>PLAZA ALVARADO</t>
  </si>
  <si>
    <t>2025-10-22 20:12:20</t>
  </si>
  <si>
    <t>1006337599cc</t>
  </si>
  <si>
    <t>samypa2412@gmail.com</t>
  </si>
  <si>
    <t>LAURA SOFIA</t>
  </si>
  <si>
    <t>QUINTERO CEPEDA</t>
  </si>
  <si>
    <t>1010005070cc</t>
  </si>
  <si>
    <t>qsofi478@gmail.com</t>
  </si>
  <si>
    <t>KEVIN DEL CRISTO</t>
  </si>
  <si>
    <t>RICARDO TORRES</t>
  </si>
  <si>
    <t>2025-10-20 13:47:50</t>
  </si>
  <si>
    <t>1149450487cc</t>
  </si>
  <si>
    <t>kevincristoricardotorres@gmail.com</t>
  </si>
  <si>
    <t>FRAYDERSON ESTIVEN</t>
  </si>
  <si>
    <t>RIVEROS GARCIA</t>
  </si>
  <si>
    <t>2025-10-21 23:08:07</t>
  </si>
  <si>
    <t>1006878941cc</t>
  </si>
  <si>
    <t>frayderson13riveros@gmail.com</t>
  </si>
  <si>
    <t>EIMY DANIELA</t>
  </si>
  <si>
    <t>RODRIGUEZ IMBUS</t>
  </si>
  <si>
    <t>2025-10-18 13:54:37</t>
  </si>
  <si>
    <t>1006879592cc</t>
  </si>
  <si>
    <t>danily1986rodriguez@gmail.com</t>
  </si>
  <si>
    <t>MAURA ALEJANDRA</t>
  </si>
  <si>
    <t>ROSERO</t>
  </si>
  <si>
    <t>2025-10-20 17:52:43</t>
  </si>
  <si>
    <t>1032391245cc</t>
  </si>
  <si>
    <t>m.rosero0587@gmail.com</t>
  </si>
  <si>
    <t>NINFA MARCELA</t>
  </si>
  <si>
    <t>SANCHEZ RUIZ</t>
  </si>
  <si>
    <t>2025-10-22 11:34:27</t>
  </si>
  <si>
    <t>1066728590cc</t>
  </si>
  <si>
    <t>nimasaru@hotmail.com</t>
  </si>
  <si>
    <t>LUZ MARINA</t>
  </si>
  <si>
    <t>SANCHEZ SERRANO</t>
  </si>
  <si>
    <t>2025-10-22 14:30:31</t>
  </si>
  <si>
    <t>39540851cc</t>
  </si>
  <si>
    <t>luzcesita8888@hotmail.com</t>
  </si>
  <si>
    <t>OSWALDO ENRIQUE</t>
  </si>
  <si>
    <t>SILVA CONTRERAS</t>
  </si>
  <si>
    <t>2025-10-22 09:21:55</t>
  </si>
  <si>
    <t>1065135129cc</t>
  </si>
  <si>
    <t>xilba07@gmail.com</t>
  </si>
  <si>
    <t>KATHERINE PAOLA</t>
  </si>
  <si>
    <t>SOLIS MANJARRES</t>
  </si>
  <si>
    <t>2025-10-22 19:00:05</t>
  </si>
  <si>
    <t>1082985822cc</t>
  </si>
  <si>
    <t>kathesolis29@gmail.com</t>
  </si>
  <si>
    <t>DAYYANA DEL PILAR</t>
  </si>
  <si>
    <t>SOTO TIFARO</t>
  </si>
  <si>
    <t>2025-10-14 21:42:18</t>
  </si>
  <si>
    <t>1001169077cc</t>
  </si>
  <si>
    <t>sotop8449@gmail.com</t>
  </si>
  <si>
    <t>DANIEL FELIPE</t>
  </si>
  <si>
    <t>SUAREZ BARRAGAN</t>
  </si>
  <si>
    <t>2025-10-21 20:11:45</t>
  </si>
  <si>
    <t>1018492501cc</t>
  </si>
  <si>
    <t>danysuarez9702@gmail.com</t>
  </si>
  <si>
    <t>ERIKA CONSTANZA</t>
  </si>
  <si>
    <t>TRUJILLO GIRON</t>
  </si>
  <si>
    <t>2025-10-21 19:14:56</t>
  </si>
  <si>
    <t>1073521834cc</t>
  </si>
  <si>
    <t>erikatrujillo876@gmail.com</t>
  </si>
  <si>
    <t>LAURA THATIANA</t>
  </si>
  <si>
    <t>VALBUENA AGUILAR</t>
  </si>
  <si>
    <t>2025-10-16 06:47:08</t>
  </si>
  <si>
    <t>1005105169cc</t>
  </si>
  <si>
    <t>valbuenalaura09@gmail.com</t>
  </si>
  <si>
    <t>ADRIANA</t>
  </si>
  <si>
    <t>VARGAS</t>
  </si>
  <si>
    <t>2025-10-22 12:24:54</t>
  </si>
  <si>
    <t>1110477743cc</t>
  </si>
  <si>
    <t>vargasadri450@gmail.com</t>
  </si>
  <si>
    <t>MARIA CAMILA</t>
  </si>
  <si>
    <t>VELANDIA JURADO</t>
  </si>
  <si>
    <t>2025-10-20 20:24:08</t>
  </si>
  <si>
    <t>1094045336cc</t>
  </si>
  <si>
    <t>mcamilavj@gmail.com</t>
  </si>
  <si>
    <t>RIGUEY</t>
  </si>
  <si>
    <t>VILLA ARANGO</t>
  </si>
  <si>
    <t>2025-10-22 16:49:27</t>
  </si>
  <si>
    <t>1036661302cc</t>
  </si>
  <si>
    <t>rigueyvilla@gmail.com</t>
  </si>
  <si>
    <t>INFOGRAFIA</t>
  </si>
  <si>
    <t>FORO</t>
  </si>
  <si>
    <t>CRUCIGRAMA</t>
  </si>
  <si>
    <t>CUADRO SINOPTICO</t>
  </si>
  <si>
    <t>TALLER</t>
  </si>
  <si>
    <t xml:space="preserve">GA1- INFOGRAFIA DE EMPRESA </t>
  </si>
  <si>
    <t>DAYANA MICHEL</t>
  </si>
  <si>
    <t>FONTALVO RODRIGUE</t>
  </si>
  <si>
    <t>gasto</t>
  </si>
  <si>
    <t>debe</t>
  </si>
  <si>
    <t>haber</t>
  </si>
  <si>
    <t>efectivo</t>
  </si>
  <si>
    <t>activos</t>
  </si>
  <si>
    <t>pasivos</t>
  </si>
  <si>
    <t>patrimonio</t>
  </si>
  <si>
    <t>patrimonio 500</t>
  </si>
  <si>
    <t>activos 500</t>
  </si>
  <si>
    <t>pasivos 0</t>
  </si>
  <si>
    <t>sumas iguales</t>
  </si>
  <si>
    <t>iva descontable</t>
  </si>
  <si>
    <t>nombre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</si>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</sst>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2"/>
      <color rgb="FF000000"/>
      <name val="Calibri"/>
    </font>
    <font>
      <u/>
      <sz val="12"/>
      <color theme="1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0" xfId="0" applyFill="1"/>
    <xf numFmtId="0" fontId="0" fillId="0" borderId="2" xfId="0" applyBorder="1"/>
    <xf numFmtId="0" fontId="1" fillId="0" borderId="0" xfId="1"/>
    <xf numFmtId="4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0" borderId="1" xfId="2" applyNumberFormat="1" applyFon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0" xfId="0" applyNumberFormat="1"/>
    <xf numFmtId="164" fontId="0" fillId="0" borderId="0" xfId="2" applyNumberFormat="1" applyFont="1"/>
    <xf numFmtId="0" fontId="0" fillId="0" borderId="14" xfId="0" applyBorder="1"/>
    <xf numFmtId="0" fontId="0" fillId="0" borderId="15" xfId="0" applyBorder="1"/>
    <xf numFmtId="164" fontId="0" fillId="0" borderId="15" xfId="2" applyNumberFormat="1" applyFont="1" applyBorder="1"/>
    <xf numFmtId="164" fontId="0" fillId="0" borderId="16" xfId="0" applyNumberForma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laragudelo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0"/>
  <sheetViews>
    <sheetView tabSelected="1" topLeftCell="C1" workbookViewId="0">
      <selection activeCell="C2" sqref="C2:C58"/>
    </sheetView>
  </sheetViews>
  <sheetFormatPr baseColWidth="10" defaultRowHeight="15.75" x14ac:dyDescent="0.25"/>
  <cols>
    <col min="2" max="2" width="22.875" customWidth="1"/>
    <col min="3" max="8" width="11" customWidth="1"/>
  </cols>
  <sheetData>
    <row r="1" spans="1:15" ht="63" x14ac:dyDescent="0.2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293</v>
      </c>
      <c r="J1" s="2" t="s">
        <v>294</v>
      </c>
      <c r="K1" s="2" t="s">
        <v>295</v>
      </c>
      <c r="L1" s="3" t="s">
        <v>296</v>
      </c>
      <c r="M1" s="2" t="s">
        <v>297</v>
      </c>
      <c r="N1" s="3" t="s">
        <v>298</v>
      </c>
    </row>
    <row r="2" spans="1:15" x14ac:dyDescent="0.25">
      <c r="A2" s="2" t="s">
        <v>8</v>
      </c>
      <c r="B2" s="2" t="s">
        <v>9</v>
      </c>
      <c r="C2" t="s">
        <v>10</v>
      </c>
      <c r="D2" t="s">
        <v>11</v>
      </c>
      <c r="E2" t="s">
        <v>12</v>
      </c>
      <c r="F2" t="s">
        <v>13</v>
      </c>
      <c r="G2" s="7" t="s">
        <v>14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</row>
    <row r="3" spans="1:15" x14ac:dyDescent="0.25">
      <c r="A3" s="2" t="s">
        <v>15</v>
      </c>
      <c r="B3" s="2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I3" s="2">
        <v>100</v>
      </c>
      <c r="J3" s="2">
        <v>100</v>
      </c>
      <c r="K3" s="2">
        <v>80</v>
      </c>
      <c r="L3" s="2">
        <v>50</v>
      </c>
      <c r="M3" s="2">
        <v>100</v>
      </c>
      <c r="N3" s="2">
        <v>100</v>
      </c>
    </row>
    <row r="4" spans="1:15" s="1" customFormat="1" x14ac:dyDescent="0.25">
      <c r="A4" s="4" t="s">
        <v>20</v>
      </c>
      <c r="B4" s="4" t="s">
        <v>21</v>
      </c>
      <c r="C4" s="1" t="s">
        <v>22</v>
      </c>
      <c r="D4" s="1" t="s">
        <v>11</v>
      </c>
      <c r="E4" s="1" t="s">
        <v>12</v>
      </c>
      <c r="F4" s="1" t="s">
        <v>23</v>
      </c>
      <c r="G4" s="1" t="s">
        <v>24</v>
      </c>
      <c r="I4" s="4">
        <v>0</v>
      </c>
      <c r="J4" s="4"/>
      <c r="K4" s="4">
        <v>0</v>
      </c>
      <c r="L4" s="4">
        <v>0</v>
      </c>
      <c r="M4" s="4">
        <v>0</v>
      </c>
      <c r="N4" s="4">
        <v>0</v>
      </c>
    </row>
    <row r="5" spans="1:15" x14ac:dyDescent="0.25">
      <c r="A5" s="2" t="s">
        <v>25</v>
      </c>
      <c r="B5" s="2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I5" s="2">
        <v>100</v>
      </c>
      <c r="J5" s="2">
        <v>100</v>
      </c>
      <c r="K5" s="2">
        <v>100</v>
      </c>
      <c r="L5" s="2">
        <v>100</v>
      </c>
      <c r="M5" s="2">
        <v>95</v>
      </c>
      <c r="N5" s="2">
        <v>0</v>
      </c>
    </row>
    <row r="6" spans="1:15" x14ac:dyDescent="0.25">
      <c r="A6" s="2" t="s">
        <v>30</v>
      </c>
      <c r="B6" s="2" t="s">
        <v>31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I6" s="2">
        <v>100</v>
      </c>
      <c r="J6" s="2">
        <v>100</v>
      </c>
      <c r="K6" s="2">
        <v>100</v>
      </c>
      <c r="L6" s="2">
        <v>100</v>
      </c>
      <c r="M6" s="2">
        <v>0</v>
      </c>
      <c r="N6" s="2"/>
    </row>
    <row r="7" spans="1:15" x14ac:dyDescent="0.25">
      <c r="A7" s="2" t="s">
        <v>35</v>
      </c>
      <c r="B7" s="2" t="s">
        <v>36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I7" s="2">
        <v>100</v>
      </c>
      <c r="J7" s="2">
        <v>100</v>
      </c>
      <c r="K7" s="2">
        <v>100</v>
      </c>
      <c r="L7" s="2">
        <v>100</v>
      </c>
      <c r="M7" s="2">
        <v>100</v>
      </c>
      <c r="N7" s="2">
        <v>80</v>
      </c>
      <c r="O7" s="6">
        <v>90</v>
      </c>
    </row>
    <row r="8" spans="1:15" x14ac:dyDescent="0.25">
      <c r="A8" s="2" t="s">
        <v>40</v>
      </c>
      <c r="B8" s="2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I8" s="2">
        <v>95</v>
      </c>
      <c r="J8" s="2">
        <v>100</v>
      </c>
      <c r="K8" s="2">
        <v>85</v>
      </c>
      <c r="L8" s="2">
        <v>0</v>
      </c>
      <c r="M8" s="2">
        <v>95</v>
      </c>
      <c r="N8" s="2">
        <v>85</v>
      </c>
      <c r="O8" s="6">
        <v>90</v>
      </c>
    </row>
    <row r="9" spans="1:15" s="1" customFormat="1" x14ac:dyDescent="0.25">
      <c r="A9" s="4" t="s">
        <v>45</v>
      </c>
      <c r="B9" s="4" t="s">
        <v>46</v>
      </c>
      <c r="C9" s="1" t="s">
        <v>47</v>
      </c>
      <c r="D9" s="1" t="s">
        <v>11</v>
      </c>
      <c r="E9" s="1" t="s">
        <v>12</v>
      </c>
      <c r="F9" s="1" t="s">
        <v>48</v>
      </c>
      <c r="G9" s="1" t="s">
        <v>49</v>
      </c>
      <c r="I9" s="4">
        <v>0</v>
      </c>
      <c r="J9" s="4"/>
      <c r="K9" s="4">
        <v>0</v>
      </c>
      <c r="L9" s="4">
        <v>0</v>
      </c>
      <c r="M9" s="4">
        <v>0</v>
      </c>
      <c r="N9" s="4">
        <v>0</v>
      </c>
    </row>
    <row r="10" spans="1:15" s="1" customFormat="1" x14ac:dyDescent="0.25">
      <c r="A10" s="4" t="s">
        <v>50</v>
      </c>
      <c r="B10" s="4" t="s">
        <v>51</v>
      </c>
      <c r="C10" s="1" t="s">
        <v>52</v>
      </c>
      <c r="D10" s="1" t="s">
        <v>11</v>
      </c>
      <c r="E10" s="1" t="s">
        <v>12</v>
      </c>
      <c r="F10" s="1" t="s">
        <v>53</v>
      </c>
      <c r="G10" s="1" t="s">
        <v>54</v>
      </c>
      <c r="I10" s="4">
        <v>0</v>
      </c>
      <c r="J10" s="4"/>
      <c r="K10" s="4">
        <v>0</v>
      </c>
      <c r="L10" s="4">
        <v>0</v>
      </c>
      <c r="M10" s="4">
        <v>0</v>
      </c>
      <c r="N10" s="4">
        <v>0</v>
      </c>
    </row>
    <row r="11" spans="1:15" x14ac:dyDescent="0.25">
      <c r="A11" s="2" t="s">
        <v>55</v>
      </c>
      <c r="B11" s="2" t="s">
        <v>56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I11" s="2">
        <v>100</v>
      </c>
      <c r="J11" s="2">
        <v>100</v>
      </c>
      <c r="K11" s="2">
        <v>100</v>
      </c>
      <c r="L11" s="2">
        <v>100</v>
      </c>
      <c r="M11" s="2">
        <v>85</v>
      </c>
      <c r="N11" s="2">
        <v>100</v>
      </c>
    </row>
    <row r="12" spans="1:15" x14ac:dyDescent="0.25">
      <c r="A12" s="2" t="s">
        <v>60</v>
      </c>
      <c r="B12" s="2" t="s">
        <v>61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I12" s="2">
        <v>100</v>
      </c>
      <c r="J12" s="2">
        <v>100</v>
      </c>
      <c r="K12" s="2">
        <v>85</v>
      </c>
      <c r="L12" s="2">
        <v>85</v>
      </c>
      <c r="M12" s="2">
        <v>85</v>
      </c>
      <c r="N12" s="2">
        <v>80</v>
      </c>
    </row>
    <row r="13" spans="1:15" x14ac:dyDescent="0.25">
      <c r="A13" s="2" t="s">
        <v>65</v>
      </c>
      <c r="B13" s="2" t="s">
        <v>66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I13" s="2">
        <v>100</v>
      </c>
      <c r="J13" s="2">
        <v>100</v>
      </c>
      <c r="K13" s="2">
        <v>100</v>
      </c>
      <c r="L13" s="2">
        <v>100</v>
      </c>
      <c r="M13" s="2">
        <v>95</v>
      </c>
      <c r="N13" s="2"/>
    </row>
    <row r="14" spans="1:15" x14ac:dyDescent="0.25">
      <c r="A14" s="2" t="s">
        <v>70</v>
      </c>
      <c r="B14" s="2" t="s">
        <v>71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I14" s="2">
        <v>100</v>
      </c>
      <c r="J14" s="2">
        <v>100</v>
      </c>
      <c r="K14" s="2">
        <v>100</v>
      </c>
      <c r="L14" s="2">
        <v>100</v>
      </c>
      <c r="M14" s="2">
        <v>95</v>
      </c>
      <c r="N14" s="2">
        <v>100</v>
      </c>
    </row>
    <row r="15" spans="1:15" x14ac:dyDescent="0.25">
      <c r="A15" s="2" t="s">
        <v>75</v>
      </c>
      <c r="B15" s="2" t="s">
        <v>76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I15" s="2">
        <v>100</v>
      </c>
      <c r="J15" s="2"/>
      <c r="K15" s="2"/>
      <c r="L15" s="2">
        <v>85</v>
      </c>
      <c r="M15" s="2">
        <v>85</v>
      </c>
      <c r="N15" s="2">
        <v>0</v>
      </c>
    </row>
    <row r="16" spans="1:15" s="1" customFormat="1" x14ac:dyDescent="0.25">
      <c r="A16" s="4" t="s">
        <v>80</v>
      </c>
      <c r="B16" s="4" t="s">
        <v>81</v>
      </c>
      <c r="C16" s="1" t="s">
        <v>82</v>
      </c>
      <c r="D16" s="1" t="s">
        <v>11</v>
      </c>
      <c r="E16" s="1" t="s">
        <v>12</v>
      </c>
      <c r="F16" s="1" t="s">
        <v>83</v>
      </c>
      <c r="G16" s="1" t="s">
        <v>84</v>
      </c>
      <c r="I16" s="4">
        <v>0</v>
      </c>
      <c r="J16" s="4"/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2" t="s">
        <v>85</v>
      </c>
      <c r="B17" s="2" t="s">
        <v>86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I17" s="2">
        <v>100</v>
      </c>
      <c r="J17" s="2">
        <v>100</v>
      </c>
      <c r="K17" s="2">
        <v>100</v>
      </c>
      <c r="L17" s="2">
        <v>100</v>
      </c>
      <c r="M17" s="2">
        <v>90</v>
      </c>
      <c r="N17" s="2">
        <v>80</v>
      </c>
    </row>
    <row r="18" spans="1:14" x14ac:dyDescent="0.25">
      <c r="A18" s="2" t="s">
        <v>90</v>
      </c>
      <c r="B18" s="2" t="s">
        <v>91</v>
      </c>
      <c r="C18" t="s">
        <v>92</v>
      </c>
      <c r="D18" t="s">
        <v>11</v>
      </c>
      <c r="E18" t="s">
        <v>12</v>
      </c>
      <c r="F18" t="s">
        <v>93</v>
      </c>
      <c r="G18" t="s">
        <v>94</v>
      </c>
      <c r="I18" s="2">
        <v>100</v>
      </c>
      <c r="J18" s="2">
        <v>100</v>
      </c>
      <c r="K18" s="2">
        <v>100</v>
      </c>
      <c r="L18" s="2">
        <v>100</v>
      </c>
      <c r="M18" s="2"/>
      <c r="N18" s="2"/>
    </row>
    <row r="19" spans="1:14" x14ac:dyDescent="0.25">
      <c r="A19" s="2" t="s">
        <v>95</v>
      </c>
      <c r="B19" s="2" t="s">
        <v>96</v>
      </c>
      <c r="C19" t="s">
        <v>97</v>
      </c>
      <c r="D19" t="s">
        <v>11</v>
      </c>
      <c r="E19" t="s">
        <v>12</v>
      </c>
      <c r="F19" t="s">
        <v>98</v>
      </c>
      <c r="G19" t="s">
        <v>99</v>
      </c>
      <c r="I19" s="2">
        <v>50</v>
      </c>
      <c r="J19" s="2">
        <v>100</v>
      </c>
      <c r="K19" s="2">
        <v>100</v>
      </c>
      <c r="L19" s="2">
        <v>100</v>
      </c>
      <c r="M19" s="2">
        <v>95</v>
      </c>
      <c r="N19" s="2">
        <v>100</v>
      </c>
    </row>
    <row r="20" spans="1:14" s="1" customFormat="1" x14ac:dyDescent="0.25">
      <c r="A20" s="4" t="s">
        <v>100</v>
      </c>
      <c r="B20" s="4" t="s">
        <v>101</v>
      </c>
      <c r="C20" s="1" t="s">
        <v>102</v>
      </c>
      <c r="D20" s="1" t="s">
        <v>11</v>
      </c>
      <c r="E20" s="1" t="s">
        <v>12</v>
      </c>
      <c r="F20" s="1" t="s">
        <v>103</v>
      </c>
      <c r="G20" s="1" t="s">
        <v>104</v>
      </c>
      <c r="I20" s="4">
        <v>0</v>
      </c>
      <c r="J20" s="4">
        <v>100</v>
      </c>
      <c r="K20" s="4">
        <v>0</v>
      </c>
      <c r="L20" s="4">
        <v>85</v>
      </c>
      <c r="M20" s="4">
        <v>0</v>
      </c>
      <c r="N20" s="4">
        <v>0</v>
      </c>
    </row>
    <row r="21" spans="1:14" s="5" customFormat="1" hidden="1" x14ac:dyDescent="0.25">
      <c r="A21" s="5" t="s">
        <v>105</v>
      </c>
      <c r="B21" s="5" t="s">
        <v>106</v>
      </c>
      <c r="C21" s="5" t="s">
        <v>107</v>
      </c>
      <c r="D21" s="5" t="s">
        <v>108</v>
      </c>
      <c r="E21" s="5" t="s">
        <v>12</v>
      </c>
      <c r="F21" s="5" t="s">
        <v>109</v>
      </c>
      <c r="G21" s="5" t="s">
        <v>110</v>
      </c>
    </row>
    <row r="22" spans="1:14" x14ac:dyDescent="0.25">
      <c r="A22" s="2" t="s">
        <v>111</v>
      </c>
      <c r="B22" s="2" t="s">
        <v>112</v>
      </c>
      <c r="C22" t="s">
        <v>113</v>
      </c>
      <c r="D22" t="s">
        <v>11</v>
      </c>
      <c r="E22" t="s">
        <v>12</v>
      </c>
      <c r="F22" t="s">
        <v>114</v>
      </c>
      <c r="G22" t="s">
        <v>115</v>
      </c>
      <c r="I22" s="2">
        <v>100</v>
      </c>
      <c r="J22" s="2">
        <v>100</v>
      </c>
      <c r="K22" s="2">
        <v>85</v>
      </c>
      <c r="L22" s="2">
        <v>85</v>
      </c>
      <c r="M22" s="2">
        <v>85</v>
      </c>
      <c r="N22" s="2">
        <v>80</v>
      </c>
    </row>
    <row r="23" spans="1:14" x14ac:dyDescent="0.25">
      <c r="A23" s="2" t="s">
        <v>116</v>
      </c>
      <c r="B23" s="2" t="s">
        <v>117</v>
      </c>
      <c r="C23" t="s">
        <v>118</v>
      </c>
      <c r="D23" t="s">
        <v>11</v>
      </c>
      <c r="E23" t="s">
        <v>12</v>
      </c>
      <c r="F23" t="s">
        <v>119</v>
      </c>
      <c r="G23" t="s">
        <v>120</v>
      </c>
      <c r="I23" s="2">
        <v>50</v>
      </c>
      <c r="J23" s="2">
        <v>100</v>
      </c>
      <c r="K23" s="2">
        <v>100</v>
      </c>
      <c r="L23" s="2">
        <v>100</v>
      </c>
      <c r="M23" s="2">
        <v>95</v>
      </c>
      <c r="N23" s="2">
        <v>100</v>
      </c>
    </row>
    <row r="24" spans="1:14" x14ac:dyDescent="0.25">
      <c r="A24" s="2" t="s">
        <v>121</v>
      </c>
      <c r="B24" s="2" t="s">
        <v>122</v>
      </c>
      <c r="C24" t="s">
        <v>123</v>
      </c>
      <c r="D24" t="s">
        <v>11</v>
      </c>
      <c r="E24" t="s">
        <v>12</v>
      </c>
      <c r="F24" t="s">
        <v>124</v>
      </c>
      <c r="G24" t="s">
        <v>125</v>
      </c>
      <c r="I24" s="2">
        <v>100</v>
      </c>
      <c r="J24" s="2">
        <v>100</v>
      </c>
      <c r="K24" s="2">
        <v>100</v>
      </c>
      <c r="L24" s="2">
        <v>100</v>
      </c>
      <c r="M24" s="2">
        <v>90</v>
      </c>
      <c r="N24" s="2">
        <v>0</v>
      </c>
    </row>
    <row r="25" spans="1:14" s="1" customFormat="1" x14ac:dyDescent="0.25">
      <c r="A25" s="4" t="s">
        <v>126</v>
      </c>
      <c r="B25" s="4" t="s">
        <v>127</v>
      </c>
      <c r="C25" s="1" t="s">
        <v>47</v>
      </c>
      <c r="D25" s="1" t="s">
        <v>11</v>
      </c>
      <c r="E25" s="1" t="s">
        <v>12</v>
      </c>
      <c r="F25" s="1" t="s">
        <v>128</v>
      </c>
      <c r="G25" s="1" t="s">
        <v>129</v>
      </c>
      <c r="I25" s="4">
        <v>0</v>
      </c>
      <c r="J25" s="4"/>
      <c r="K25" s="4">
        <v>0</v>
      </c>
      <c r="L25" s="4">
        <v>0</v>
      </c>
      <c r="M25" s="4">
        <v>0</v>
      </c>
      <c r="N25" s="4">
        <v>85</v>
      </c>
    </row>
    <row r="26" spans="1:14" s="5" customFormat="1" hidden="1" x14ac:dyDescent="0.25">
      <c r="A26" s="5" t="s">
        <v>130</v>
      </c>
      <c r="B26" s="5" t="s">
        <v>131</v>
      </c>
      <c r="C26" s="5" t="s">
        <v>47</v>
      </c>
      <c r="D26" s="5" t="s">
        <v>132</v>
      </c>
      <c r="E26" s="5" t="s">
        <v>12</v>
      </c>
      <c r="F26" s="5" t="s">
        <v>133</v>
      </c>
      <c r="G26" s="5" t="s">
        <v>134</v>
      </c>
    </row>
    <row r="27" spans="1:14" s="1" customFormat="1" x14ac:dyDescent="0.25">
      <c r="A27" s="4" t="s">
        <v>15</v>
      </c>
      <c r="B27" s="4" t="s">
        <v>135</v>
      </c>
      <c r="C27" s="1" t="s">
        <v>136</v>
      </c>
      <c r="D27" s="1" t="s">
        <v>11</v>
      </c>
      <c r="E27" s="1" t="s">
        <v>12</v>
      </c>
      <c r="F27" s="1" t="s">
        <v>137</v>
      </c>
      <c r="G27" s="1" t="s">
        <v>138</v>
      </c>
      <c r="I27" s="4">
        <v>0</v>
      </c>
      <c r="J27" s="4"/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2" t="s">
        <v>139</v>
      </c>
      <c r="B28" s="2" t="s">
        <v>140</v>
      </c>
      <c r="C28" t="s">
        <v>141</v>
      </c>
      <c r="D28" t="s">
        <v>11</v>
      </c>
      <c r="E28" t="s">
        <v>12</v>
      </c>
      <c r="F28" t="s">
        <v>142</v>
      </c>
      <c r="G28" t="s">
        <v>143</v>
      </c>
      <c r="I28" s="2">
        <v>100</v>
      </c>
      <c r="J28" s="2">
        <v>100</v>
      </c>
      <c r="K28" s="2">
        <v>100</v>
      </c>
      <c r="L28" s="2">
        <v>100</v>
      </c>
      <c r="M28" s="2">
        <v>85</v>
      </c>
      <c r="N28" s="2">
        <v>100</v>
      </c>
    </row>
    <row r="29" spans="1:14" x14ac:dyDescent="0.25">
      <c r="A29" s="2" t="s">
        <v>144</v>
      </c>
      <c r="B29" s="2" t="s">
        <v>145</v>
      </c>
      <c r="C29" t="s">
        <v>146</v>
      </c>
      <c r="D29" t="s">
        <v>11</v>
      </c>
      <c r="E29" t="s">
        <v>12</v>
      </c>
      <c r="F29" t="s">
        <v>147</v>
      </c>
      <c r="G29" t="s">
        <v>148</v>
      </c>
      <c r="I29" s="2">
        <v>50</v>
      </c>
      <c r="J29" s="2">
        <v>0</v>
      </c>
      <c r="K29" s="2">
        <v>100</v>
      </c>
      <c r="L29" s="2">
        <v>85</v>
      </c>
      <c r="M29" s="2">
        <v>80</v>
      </c>
      <c r="N29" s="2">
        <v>100</v>
      </c>
    </row>
    <row r="30" spans="1:14" s="5" customFormat="1" hidden="1" x14ac:dyDescent="0.25">
      <c r="A30" s="5" t="s">
        <v>149</v>
      </c>
      <c r="B30" s="5" t="s">
        <v>150</v>
      </c>
      <c r="C30" s="5" t="s">
        <v>151</v>
      </c>
      <c r="D30" s="5" t="s">
        <v>132</v>
      </c>
      <c r="E30" s="5" t="s">
        <v>12</v>
      </c>
      <c r="F30" s="5" t="s">
        <v>152</v>
      </c>
      <c r="G30" s="5" t="s">
        <v>153</v>
      </c>
    </row>
    <row r="31" spans="1:14" x14ac:dyDescent="0.25">
      <c r="A31" s="2" t="s">
        <v>154</v>
      </c>
      <c r="B31" s="2" t="s">
        <v>155</v>
      </c>
      <c r="C31" t="s">
        <v>156</v>
      </c>
      <c r="D31" t="s">
        <v>11</v>
      </c>
      <c r="E31" t="s">
        <v>12</v>
      </c>
      <c r="F31" t="s">
        <v>157</v>
      </c>
      <c r="G31" t="s">
        <v>158</v>
      </c>
      <c r="I31" s="2">
        <v>100</v>
      </c>
      <c r="J31" s="2">
        <v>100</v>
      </c>
      <c r="K31" s="2">
        <v>100</v>
      </c>
      <c r="L31" s="2">
        <v>85</v>
      </c>
      <c r="M31" s="2"/>
      <c r="N31" s="2">
        <v>80</v>
      </c>
    </row>
    <row r="32" spans="1:14" x14ac:dyDescent="0.25">
      <c r="A32" s="2" t="s">
        <v>159</v>
      </c>
      <c r="B32" s="2" t="s">
        <v>160</v>
      </c>
      <c r="C32" t="s">
        <v>161</v>
      </c>
      <c r="D32" t="s">
        <v>11</v>
      </c>
      <c r="E32" t="s">
        <v>12</v>
      </c>
      <c r="F32" t="s">
        <v>162</v>
      </c>
      <c r="G32" t="s">
        <v>163</v>
      </c>
      <c r="I32" s="2">
        <v>90</v>
      </c>
      <c r="J32" s="2">
        <v>100</v>
      </c>
      <c r="K32" s="2">
        <v>85</v>
      </c>
      <c r="L32" s="2">
        <v>0</v>
      </c>
      <c r="M32" s="2">
        <v>0</v>
      </c>
      <c r="N32" s="2">
        <v>80</v>
      </c>
    </row>
    <row r="33" spans="1:15" x14ac:dyDescent="0.25">
      <c r="A33" s="2" t="s">
        <v>164</v>
      </c>
      <c r="B33" s="2" t="s">
        <v>165</v>
      </c>
      <c r="C33" t="s">
        <v>166</v>
      </c>
      <c r="D33" t="s">
        <v>11</v>
      </c>
      <c r="E33" t="s">
        <v>12</v>
      </c>
      <c r="F33" t="s">
        <v>167</v>
      </c>
      <c r="G33" t="s">
        <v>168</v>
      </c>
      <c r="I33" s="2">
        <v>50</v>
      </c>
      <c r="J33" s="2">
        <v>100</v>
      </c>
      <c r="K33" s="2">
        <v>50</v>
      </c>
      <c r="L33" s="2">
        <v>71</v>
      </c>
      <c r="M33" s="2">
        <v>50</v>
      </c>
      <c r="N33" s="2">
        <v>50</v>
      </c>
    </row>
    <row r="34" spans="1:15" s="1" customFormat="1" x14ac:dyDescent="0.25">
      <c r="A34" s="4" t="s">
        <v>169</v>
      </c>
      <c r="B34" s="4" t="s">
        <v>170</v>
      </c>
      <c r="C34" s="1" t="s">
        <v>171</v>
      </c>
      <c r="D34" s="1" t="s">
        <v>11</v>
      </c>
      <c r="E34" s="1" t="s">
        <v>12</v>
      </c>
      <c r="F34" s="1" t="s">
        <v>172</v>
      </c>
      <c r="G34" s="1" t="s">
        <v>173</v>
      </c>
      <c r="I34" s="4">
        <v>0</v>
      </c>
      <c r="J34" s="4"/>
      <c r="K34" s="4">
        <v>0</v>
      </c>
      <c r="L34" s="4">
        <v>0</v>
      </c>
      <c r="M34" s="4">
        <v>0</v>
      </c>
      <c r="N34" s="4">
        <v>0</v>
      </c>
    </row>
    <row r="35" spans="1:15" x14ac:dyDescent="0.25">
      <c r="A35" s="2" t="s">
        <v>174</v>
      </c>
      <c r="B35" s="2" t="s">
        <v>175</v>
      </c>
      <c r="C35" t="s">
        <v>176</v>
      </c>
      <c r="D35" t="s">
        <v>11</v>
      </c>
      <c r="E35" t="s">
        <v>12</v>
      </c>
      <c r="F35" t="s">
        <v>177</v>
      </c>
      <c r="G35" t="s">
        <v>178</v>
      </c>
      <c r="I35" s="2">
        <v>0</v>
      </c>
      <c r="J35" s="2">
        <v>100</v>
      </c>
      <c r="K35" s="2">
        <v>90</v>
      </c>
      <c r="L35" s="2">
        <v>100</v>
      </c>
      <c r="M35" s="2">
        <v>100</v>
      </c>
      <c r="N35" s="2">
        <v>100</v>
      </c>
    </row>
    <row r="36" spans="1:15" x14ac:dyDescent="0.25">
      <c r="A36" s="2" t="s">
        <v>179</v>
      </c>
      <c r="B36" s="2" t="s">
        <v>180</v>
      </c>
      <c r="C36" t="s">
        <v>181</v>
      </c>
      <c r="D36" t="s">
        <v>11</v>
      </c>
      <c r="E36" t="s">
        <v>12</v>
      </c>
      <c r="F36" t="s">
        <v>182</v>
      </c>
      <c r="G36" t="s">
        <v>183</v>
      </c>
      <c r="I36" s="2">
        <v>100</v>
      </c>
      <c r="J36" s="2">
        <v>100</v>
      </c>
      <c r="K36" s="2">
        <v>100</v>
      </c>
      <c r="L36" s="2">
        <v>100</v>
      </c>
      <c r="M36" s="2">
        <v>95</v>
      </c>
      <c r="N36" s="2">
        <v>80</v>
      </c>
    </row>
    <row r="37" spans="1:15" x14ac:dyDescent="0.25">
      <c r="A37" s="2" t="s">
        <v>184</v>
      </c>
      <c r="B37" s="2" t="s">
        <v>185</v>
      </c>
      <c r="C37" t="s">
        <v>186</v>
      </c>
      <c r="D37" t="s">
        <v>11</v>
      </c>
      <c r="E37" t="s">
        <v>12</v>
      </c>
      <c r="F37" t="s">
        <v>187</v>
      </c>
      <c r="G37" t="s">
        <v>188</v>
      </c>
      <c r="I37" s="2">
        <v>100</v>
      </c>
      <c r="J37" s="2">
        <v>100</v>
      </c>
      <c r="K37" s="2">
        <v>100</v>
      </c>
      <c r="L37" s="2">
        <v>100</v>
      </c>
      <c r="M37" s="2">
        <v>100</v>
      </c>
      <c r="N37" s="2">
        <v>100</v>
      </c>
    </row>
    <row r="38" spans="1:15" x14ac:dyDescent="0.25">
      <c r="A38" s="2" t="s">
        <v>189</v>
      </c>
      <c r="B38" s="2" t="s">
        <v>190</v>
      </c>
      <c r="C38" t="s">
        <v>191</v>
      </c>
      <c r="D38" t="s">
        <v>11</v>
      </c>
      <c r="E38" t="s">
        <v>12</v>
      </c>
      <c r="F38" t="s">
        <v>192</v>
      </c>
      <c r="G38" t="s">
        <v>193</v>
      </c>
      <c r="I38" s="2">
        <v>100</v>
      </c>
      <c r="J38" s="2">
        <v>100</v>
      </c>
      <c r="K38" s="2">
        <v>100</v>
      </c>
      <c r="L38" s="2">
        <v>100</v>
      </c>
      <c r="M38" s="2">
        <v>100</v>
      </c>
      <c r="N38" s="2">
        <v>100</v>
      </c>
    </row>
    <row r="39" spans="1:15" x14ac:dyDescent="0.25">
      <c r="A39" s="2" t="s">
        <v>194</v>
      </c>
      <c r="B39" s="2" t="s">
        <v>195</v>
      </c>
      <c r="C39" t="s">
        <v>196</v>
      </c>
      <c r="D39" t="s">
        <v>11</v>
      </c>
      <c r="E39" t="s">
        <v>12</v>
      </c>
      <c r="F39" t="s">
        <v>197</v>
      </c>
      <c r="G39" t="s">
        <v>198</v>
      </c>
      <c r="I39" s="2">
        <v>100</v>
      </c>
      <c r="J39" s="2">
        <v>100</v>
      </c>
      <c r="K39" s="2">
        <v>85</v>
      </c>
      <c r="L39" s="2">
        <v>85</v>
      </c>
      <c r="M39" s="2">
        <v>85</v>
      </c>
      <c r="N39" s="2">
        <v>80</v>
      </c>
    </row>
    <row r="40" spans="1:15" x14ac:dyDescent="0.25">
      <c r="A40" s="2" t="s">
        <v>199</v>
      </c>
      <c r="B40" s="2" t="s">
        <v>200</v>
      </c>
      <c r="C40" t="s">
        <v>201</v>
      </c>
      <c r="D40" t="s">
        <v>11</v>
      </c>
      <c r="E40" t="s">
        <v>12</v>
      </c>
      <c r="F40" t="s">
        <v>202</v>
      </c>
      <c r="G40" t="s">
        <v>203</v>
      </c>
      <c r="I40" s="2">
        <v>100</v>
      </c>
      <c r="J40" s="2">
        <v>100</v>
      </c>
      <c r="K40" s="2">
        <v>100</v>
      </c>
      <c r="L40" s="2">
        <v>100</v>
      </c>
      <c r="M40" s="2">
        <v>95</v>
      </c>
      <c r="N40" s="2">
        <v>100</v>
      </c>
    </row>
    <row r="41" spans="1:15" s="1" customFormat="1" x14ac:dyDescent="0.25">
      <c r="A41" s="4" t="s">
        <v>204</v>
      </c>
      <c r="B41" s="4" t="s">
        <v>205</v>
      </c>
      <c r="C41" s="1" t="s">
        <v>206</v>
      </c>
      <c r="D41" s="1" t="s">
        <v>11</v>
      </c>
      <c r="E41" s="1" t="s">
        <v>12</v>
      </c>
      <c r="F41" s="1" t="s">
        <v>207</v>
      </c>
      <c r="G41" s="1" t="s">
        <v>208</v>
      </c>
      <c r="I41" s="4">
        <v>90</v>
      </c>
      <c r="J41" s="4">
        <v>100</v>
      </c>
      <c r="K41" s="4">
        <v>0</v>
      </c>
      <c r="L41" s="4">
        <v>0</v>
      </c>
      <c r="M41" s="4">
        <v>0</v>
      </c>
      <c r="N41" s="4">
        <v>0</v>
      </c>
    </row>
    <row r="42" spans="1:15" x14ac:dyDescent="0.25">
      <c r="A42" s="2" t="s">
        <v>209</v>
      </c>
      <c r="B42" s="2" t="s">
        <v>210</v>
      </c>
      <c r="C42" t="s">
        <v>211</v>
      </c>
      <c r="D42" t="s">
        <v>11</v>
      </c>
      <c r="E42" t="s">
        <v>12</v>
      </c>
      <c r="F42" t="s">
        <v>212</v>
      </c>
      <c r="G42" t="s">
        <v>213</v>
      </c>
      <c r="I42" s="2">
        <v>100</v>
      </c>
      <c r="J42" s="2">
        <v>100</v>
      </c>
      <c r="K42" s="2">
        <v>100</v>
      </c>
      <c r="L42" s="2">
        <v>100</v>
      </c>
      <c r="M42" s="2">
        <v>100</v>
      </c>
      <c r="N42" s="2">
        <v>100</v>
      </c>
    </row>
    <row r="43" spans="1:15" s="1" customFormat="1" x14ac:dyDescent="0.25">
      <c r="A43" s="4" t="s">
        <v>214</v>
      </c>
      <c r="B43" s="4" t="s">
        <v>215</v>
      </c>
      <c r="C43" s="1" t="s">
        <v>47</v>
      </c>
      <c r="D43" s="1" t="s">
        <v>11</v>
      </c>
      <c r="E43" s="1" t="s">
        <v>12</v>
      </c>
      <c r="F43" s="1" t="s">
        <v>216</v>
      </c>
      <c r="G43" s="1" t="s">
        <v>217</v>
      </c>
      <c r="I43" s="4">
        <v>0</v>
      </c>
      <c r="J43" s="4"/>
      <c r="K43" s="4">
        <v>0</v>
      </c>
      <c r="L43" s="4">
        <v>0</v>
      </c>
      <c r="M43" s="4">
        <v>0</v>
      </c>
      <c r="N43" s="4">
        <v>0</v>
      </c>
    </row>
    <row r="44" spans="1:15" x14ac:dyDescent="0.25">
      <c r="A44" s="2" t="s">
        <v>218</v>
      </c>
      <c r="B44" s="2" t="s">
        <v>219</v>
      </c>
      <c r="C44" t="s">
        <v>220</v>
      </c>
      <c r="D44" t="s">
        <v>11</v>
      </c>
      <c r="E44" t="s">
        <v>12</v>
      </c>
      <c r="F44" t="s">
        <v>221</v>
      </c>
      <c r="G44" t="s">
        <v>222</v>
      </c>
      <c r="I44" s="2">
        <v>95</v>
      </c>
      <c r="J44" s="2">
        <v>100</v>
      </c>
      <c r="K44" s="2">
        <v>100</v>
      </c>
      <c r="L44" s="2">
        <v>100</v>
      </c>
      <c r="M44" s="2">
        <v>95</v>
      </c>
      <c r="N44" s="2">
        <v>90</v>
      </c>
    </row>
    <row r="45" spans="1:15" x14ac:dyDescent="0.25">
      <c r="A45" s="2" t="s">
        <v>223</v>
      </c>
      <c r="B45" s="2" t="s">
        <v>224</v>
      </c>
      <c r="C45" t="s">
        <v>225</v>
      </c>
      <c r="D45" t="s">
        <v>11</v>
      </c>
      <c r="E45" t="s">
        <v>12</v>
      </c>
      <c r="F45" t="s">
        <v>226</v>
      </c>
      <c r="G45" t="s">
        <v>227</v>
      </c>
      <c r="I45" s="2">
        <v>100</v>
      </c>
      <c r="J45" s="2">
        <v>100</v>
      </c>
      <c r="K45" s="2">
        <v>100</v>
      </c>
      <c r="L45" s="2">
        <v>100</v>
      </c>
      <c r="M45" s="2">
        <v>90</v>
      </c>
      <c r="N45" s="2">
        <v>100</v>
      </c>
    </row>
    <row r="46" spans="1:15" x14ac:dyDescent="0.25">
      <c r="A46" s="2" t="s">
        <v>228</v>
      </c>
      <c r="B46" s="2" t="s">
        <v>229</v>
      </c>
      <c r="C46" t="s">
        <v>230</v>
      </c>
      <c r="D46" t="s">
        <v>11</v>
      </c>
      <c r="E46" t="s">
        <v>12</v>
      </c>
      <c r="F46" t="s">
        <v>231</v>
      </c>
      <c r="G46" t="s">
        <v>232</v>
      </c>
      <c r="I46" s="2">
        <v>100</v>
      </c>
      <c r="J46" s="2">
        <v>100</v>
      </c>
      <c r="K46" s="2">
        <v>85</v>
      </c>
      <c r="L46" s="2">
        <v>100</v>
      </c>
      <c r="M46" s="2">
        <v>85</v>
      </c>
      <c r="N46" s="2">
        <v>100</v>
      </c>
    </row>
    <row r="47" spans="1:15" x14ac:dyDescent="0.25">
      <c r="A47" s="2" t="s">
        <v>233</v>
      </c>
      <c r="B47" s="2" t="s">
        <v>234</v>
      </c>
      <c r="C47" t="s">
        <v>235</v>
      </c>
      <c r="D47" t="s">
        <v>11</v>
      </c>
      <c r="E47" t="s">
        <v>12</v>
      </c>
      <c r="F47" t="s">
        <v>236</v>
      </c>
      <c r="G47" t="s">
        <v>237</v>
      </c>
      <c r="I47" s="2">
        <v>100</v>
      </c>
      <c r="J47" s="2">
        <v>100</v>
      </c>
      <c r="K47" s="2">
        <v>85</v>
      </c>
      <c r="L47" s="2">
        <v>90</v>
      </c>
      <c r="M47" s="2">
        <v>90</v>
      </c>
      <c r="N47" s="2">
        <v>100</v>
      </c>
      <c r="O47" s="6">
        <v>90</v>
      </c>
    </row>
    <row r="48" spans="1:15" x14ac:dyDescent="0.25">
      <c r="A48" s="2" t="s">
        <v>238</v>
      </c>
      <c r="B48" s="2" t="s">
        <v>239</v>
      </c>
      <c r="C48" t="s">
        <v>240</v>
      </c>
      <c r="D48" t="s">
        <v>11</v>
      </c>
      <c r="E48" t="s">
        <v>12</v>
      </c>
      <c r="F48" t="s">
        <v>241</v>
      </c>
      <c r="G48" t="s">
        <v>242</v>
      </c>
      <c r="I48" s="2">
        <v>100</v>
      </c>
      <c r="J48" s="2">
        <v>100</v>
      </c>
      <c r="K48" s="2">
        <v>85</v>
      </c>
      <c r="L48" s="2">
        <v>100</v>
      </c>
      <c r="M48" s="2">
        <v>95</v>
      </c>
      <c r="N48" s="2">
        <v>100</v>
      </c>
    </row>
    <row r="49" spans="1:14" x14ac:dyDescent="0.25">
      <c r="A49" s="2" t="s">
        <v>243</v>
      </c>
      <c r="B49" s="2" t="s">
        <v>244</v>
      </c>
      <c r="C49" t="s">
        <v>245</v>
      </c>
      <c r="D49" t="s">
        <v>11</v>
      </c>
      <c r="E49" t="s">
        <v>12</v>
      </c>
      <c r="F49" t="s">
        <v>246</v>
      </c>
      <c r="G49" t="s">
        <v>247</v>
      </c>
      <c r="I49" s="2">
        <v>95</v>
      </c>
      <c r="J49" s="2">
        <v>100</v>
      </c>
      <c r="K49" s="2">
        <v>80</v>
      </c>
      <c r="L49" s="2">
        <v>85</v>
      </c>
      <c r="M49" s="2">
        <v>100</v>
      </c>
      <c r="N49" s="2">
        <v>100</v>
      </c>
    </row>
    <row r="50" spans="1:14" x14ac:dyDescent="0.25">
      <c r="A50" s="2" t="s">
        <v>248</v>
      </c>
      <c r="B50" s="2" t="s">
        <v>249</v>
      </c>
      <c r="C50" t="s">
        <v>250</v>
      </c>
      <c r="D50" t="s">
        <v>11</v>
      </c>
      <c r="E50" t="s">
        <v>12</v>
      </c>
      <c r="F50" t="s">
        <v>251</v>
      </c>
      <c r="G50" t="s">
        <v>252</v>
      </c>
      <c r="I50" s="2">
        <v>100</v>
      </c>
      <c r="J50" s="2">
        <v>100</v>
      </c>
      <c r="K50" s="2">
        <v>90</v>
      </c>
      <c r="L50" s="2">
        <v>100</v>
      </c>
      <c r="M50" s="2">
        <v>95</v>
      </c>
      <c r="N50" s="2">
        <v>100</v>
      </c>
    </row>
    <row r="51" spans="1:14" x14ac:dyDescent="0.25">
      <c r="A51" s="2" t="s">
        <v>253</v>
      </c>
      <c r="B51" s="2" t="s">
        <v>254</v>
      </c>
      <c r="C51" t="s">
        <v>255</v>
      </c>
      <c r="D51" t="s">
        <v>11</v>
      </c>
      <c r="E51" t="s">
        <v>12</v>
      </c>
      <c r="F51" t="s">
        <v>256</v>
      </c>
      <c r="G51" t="s">
        <v>257</v>
      </c>
      <c r="I51" s="2">
        <v>100</v>
      </c>
      <c r="J51" s="2">
        <v>100</v>
      </c>
      <c r="K51" s="2">
        <v>100</v>
      </c>
      <c r="L51" s="2">
        <v>100</v>
      </c>
      <c r="M51" s="2">
        <v>90</v>
      </c>
      <c r="N51" s="2">
        <v>100</v>
      </c>
    </row>
    <row r="52" spans="1:14" x14ac:dyDescent="0.25">
      <c r="A52" s="2" t="s">
        <v>258</v>
      </c>
      <c r="B52" s="2" t="s">
        <v>259</v>
      </c>
      <c r="C52" t="s">
        <v>260</v>
      </c>
      <c r="D52" t="s">
        <v>11</v>
      </c>
      <c r="E52" t="s">
        <v>12</v>
      </c>
      <c r="F52" t="s">
        <v>261</v>
      </c>
      <c r="G52" t="s">
        <v>262</v>
      </c>
      <c r="I52" s="2">
        <v>90</v>
      </c>
      <c r="J52" s="2">
        <v>100</v>
      </c>
      <c r="K52" s="2">
        <v>100</v>
      </c>
      <c r="L52" s="2">
        <v>100</v>
      </c>
      <c r="M52" s="2">
        <v>100</v>
      </c>
      <c r="N52" s="2">
        <v>75</v>
      </c>
    </row>
    <row r="53" spans="1:14" x14ac:dyDescent="0.25">
      <c r="A53" s="2" t="s">
        <v>263</v>
      </c>
      <c r="B53" s="2" t="s">
        <v>264</v>
      </c>
      <c r="C53" t="s">
        <v>265</v>
      </c>
      <c r="D53" t="s">
        <v>11</v>
      </c>
      <c r="E53" t="s">
        <v>12</v>
      </c>
      <c r="F53" t="s">
        <v>266</v>
      </c>
      <c r="G53" t="s">
        <v>267</v>
      </c>
      <c r="I53" s="2">
        <v>100</v>
      </c>
      <c r="J53" s="2">
        <v>100</v>
      </c>
      <c r="K53" s="2">
        <v>100</v>
      </c>
      <c r="L53" s="2">
        <v>100</v>
      </c>
      <c r="M53" s="2">
        <v>95</v>
      </c>
      <c r="N53" s="2">
        <v>100</v>
      </c>
    </row>
    <row r="54" spans="1:14" x14ac:dyDescent="0.25">
      <c r="A54" s="2" t="s">
        <v>268</v>
      </c>
      <c r="B54" s="2" t="s">
        <v>269</v>
      </c>
      <c r="C54" t="s">
        <v>270</v>
      </c>
      <c r="D54" t="s">
        <v>11</v>
      </c>
      <c r="E54" t="s">
        <v>12</v>
      </c>
      <c r="F54" t="s">
        <v>271</v>
      </c>
      <c r="G54" t="s">
        <v>272</v>
      </c>
      <c r="I54" s="2">
        <v>100</v>
      </c>
      <c r="J54" s="2">
        <v>100</v>
      </c>
      <c r="K54" s="2">
        <v>85</v>
      </c>
      <c r="L54" s="2">
        <v>85</v>
      </c>
      <c r="M54" s="2">
        <v>85</v>
      </c>
      <c r="N54" s="2">
        <v>80</v>
      </c>
    </row>
    <row r="55" spans="1:14" s="1" customFormat="1" x14ac:dyDescent="0.25">
      <c r="A55" s="4" t="s">
        <v>273</v>
      </c>
      <c r="B55" s="4" t="s">
        <v>274</v>
      </c>
      <c r="C55" s="1" t="s">
        <v>275</v>
      </c>
      <c r="D55" s="1" t="s">
        <v>11</v>
      </c>
      <c r="E55" s="1" t="s">
        <v>12</v>
      </c>
      <c r="F55" s="1" t="s">
        <v>276</v>
      </c>
      <c r="G55" s="1" t="s">
        <v>277</v>
      </c>
      <c r="I55" s="4">
        <v>100</v>
      </c>
      <c r="J55" s="4">
        <v>100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2" t="s">
        <v>278</v>
      </c>
      <c r="B56" s="2" t="s">
        <v>279</v>
      </c>
      <c r="C56" t="s">
        <v>280</v>
      </c>
      <c r="D56" t="s">
        <v>11</v>
      </c>
      <c r="E56" t="s">
        <v>12</v>
      </c>
      <c r="F56" t="s">
        <v>281</v>
      </c>
      <c r="G56" t="s">
        <v>282</v>
      </c>
      <c r="I56" s="2">
        <v>100</v>
      </c>
      <c r="J56" s="2">
        <v>100</v>
      </c>
      <c r="K56" s="2">
        <v>100</v>
      </c>
      <c r="L56" s="2">
        <v>100</v>
      </c>
      <c r="M56" s="2">
        <v>80</v>
      </c>
      <c r="N56" s="2">
        <v>100</v>
      </c>
    </row>
    <row r="57" spans="1:14" s="1" customFormat="1" x14ac:dyDescent="0.25">
      <c r="A57" s="4" t="s">
        <v>283</v>
      </c>
      <c r="B57" s="4" t="s">
        <v>284</v>
      </c>
      <c r="C57" s="1" t="s">
        <v>285</v>
      </c>
      <c r="D57" s="1" t="s">
        <v>11</v>
      </c>
      <c r="E57" s="1" t="s">
        <v>12</v>
      </c>
      <c r="F57" s="1" t="s">
        <v>286</v>
      </c>
      <c r="G57" s="1" t="s">
        <v>287</v>
      </c>
      <c r="I57" s="4">
        <v>0</v>
      </c>
      <c r="J57" s="4"/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2" t="s">
        <v>288</v>
      </c>
      <c r="B58" s="2" t="s">
        <v>289</v>
      </c>
      <c r="C58" t="s">
        <v>290</v>
      </c>
      <c r="D58" t="s">
        <v>11</v>
      </c>
      <c r="E58" t="s">
        <v>12</v>
      </c>
      <c r="F58" t="s">
        <v>291</v>
      </c>
      <c r="G58" t="s">
        <v>292</v>
      </c>
      <c r="I58" s="2">
        <v>100</v>
      </c>
      <c r="J58" s="2"/>
      <c r="K58" s="2">
        <v>100</v>
      </c>
      <c r="L58" s="2">
        <v>85</v>
      </c>
      <c r="M58" s="2">
        <v>95</v>
      </c>
      <c r="N58" s="2">
        <v>0</v>
      </c>
    </row>
    <row r="60" spans="1:14" x14ac:dyDescent="0.25">
      <c r="A60" t="s">
        <v>299</v>
      </c>
      <c r="B60" t="s">
        <v>300</v>
      </c>
      <c r="N60">
        <v>100</v>
      </c>
    </row>
  </sheetData>
  <autoFilter ref="A1:H58" xr:uid="{00000000-0009-0000-0000-000000000000}">
    <filterColumn colId="3">
      <filters>
        <filter val="Aprendiz"/>
      </filters>
    </filterColumn>
  </autoFilter>
  <hyperlinks>
    <hyperlink ref="G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B1EA-1D54-445F-B467-911FAAA392DA}">
  <dimension ref="A1:G10"/>
  <sheetViews>
    <sheetView zoomScale="320" zoomScaleNormal="320" workbookViewId="0">
      <selection activeCell="C6" sqref="C6"/>
    </sheetView>
  </sheetViews>
  <sheetFormatPr baseColWidth="10" defaultRowHeight="15.75" x14ac:dyDescent="0.25"/>
  <cols>
    <col min="2" max="2" width="13.25" customWidth="1"/>
    <col min="7" max="7" width="13" customWidth="1"/>
  </cols>
  <sheetData>
    <row r="1" spans="1:7" x14ac:dyDescent="0.25">
      <c r="A1" s="9" t="s">
        <v>314</v>
      </c>
      <c r="B1" s="10" t="s">
        <v>313</v>
      </c>
      <c r="C1" s="10" t="s">
        <v>302</v>
      </c>
      <c r="D1" s="11" t="s">
        <v>303</v>
      </c>
    </row>
    <row r="2" spans="1:7" x14ac:dyDescent="0.25">
      <c r="A2" s="12">
        <v>51</v>
      </c>
      <c r="B2" s="2" t="s">
        <v>301</v>
      </c>
      <c r="C2" s="15">
        <v>3000</v>
      </c>
      <c r="D2" s="16"/>
    </row>
    <row r="3" spans="1:7" x14ac:dyDescent="0.25">
      <c r="A3" s="21">
        <v>24</v>
      </c>
      <c r="B3" s="22" t="s">
        <v>312</v>
      </c>
      <c r="C3" s="23">
        <f>+C2*19%</f>
        <v>570</v>
      </c>
      <c r="D3" s="24"/>
    </row>
    <row r="4" spans="1:7" ht="16.5" thickBot="1" x14ac:dyDescent="0.3">
      <c r="A4" s="13">
        <v>11</v>
      </c>
      <c r="B4" s="14" t="s">
        <v>304</v>
      </c>
      <c r="C4" s="17"/>
      <c r="D4" s="18">
        <f>+C2+C3</f>
        <v>3570</v>
      </c>
    </row>
    <row r="5" spans="1:7" x14ac:dyDescent="0.25">
      <c r="B5" t="s">
        <v>311</v>
      </c>
      <c r="C5" s="19">
        <f>SUM(C2:C4)</f>
        <v>3570</v>
      </c>
      <c r="D5" s="20">
        <f>SUM(D2:D4)</f>
        <v>3570</v>
      </c>
    </row>
    <row r="6" spans="1:7" ht="16.5" thickBot="1" x14ac:dyDescent="0.3">
      <c r="C6" s="8"/>
    </row>
    <row r="7" spans="1:7" x14ac:dyDescent="0.25">
      <c r="C7" s="25" t="s">
        <v>305</v>
      </c>
      <c r="D7" s="28" t="s">
        <v>306</v>
      </c>
      <c r="F7" s="25" t="s">
        <v>309</v>
      </c>
      <c r="G7" s="28" t="s">
        <v>310</v>
      </c>
    </row>
    <row r="8" spans="1:7" ht="16.5" thickBot="1" x14ac:dyDescent="0.3">
      <c r="C8" s="26"/>
      <c r="D8" s="29"/>
      <c r="F8" s="26"/>
      <c r="G8" s="29"/>
    </row>
    <row r="9" spans="1:7" x14ac:dyDescent="0.25">
      <c r="C9" s="26"/>
      <c r="D9" s="28" t="s">
        <v>307</v>
      </c>
      <c r="F9" s="26"/>
      <c r="G9" s="28" t="s">
        <v>308</v>
      </c>
    </row>
    <row r="10" spans="1:7" ht="16.5" thickBot="1" x14ac:dyDescent="0.3">
      <c r="C10" s="27"/>
      <c r="D10" s="29"/>
      <c r="F10" s="27"/>
      <c r="G10" s="29"/>
    </row>
  </sheetData>
  <mergeCells count="6">
    <mergeCell ref="C7:C10"/>
    <mergeCell ref="D7:D8"/>
    <mergeCell ref="D9:D10"/>
    <mergeCell ref="F7:F10"/>
    <mergeCell ref="G7:G8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Moisés Edgardo Meriño P.</cp:lastModifiedBy>
  <dcterms:created xsi:type="dcterms:W3CDTF">2025-10-23T19:15:56Z</dcterms:created>
  <dcterms:modified xsi:type="dcterms:W3CDTF">2026-05-12T19:10:43Z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2025-10-22T20:12:35-05:00</dcterms:created>
  <dcterms:modified xsi:type="dcterms:W3CDTF">2025-10-22T20:12:35-05:00</dcterms:modified>
  <cp:revision>0</cp:revision>
</cp:coreProperties>
</file>